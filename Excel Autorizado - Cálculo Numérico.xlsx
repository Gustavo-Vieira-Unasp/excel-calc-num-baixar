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ocuments\codes\excel-calc-num-baixar\"/>
    </mc:Choice>
  </mc:AlternateContent>
  <xr:revisionPtr revIDLastSave="0" documentId="8_{2F65629C-D8E6-4631-B153-A7A717F4EA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stemas Lineares - Jacobi" sheetId="1" r:id="rId1"/>
    <sheet name="Sistemas Lineares - Seidel" sheetId="6" r:id="rId2"/>
    <sheet name="Bissecção" sheetId="2" r:id="rId3"/>
    <sheet name="Lagrange" sheetId="3" r:id="rId4"/>
    <sheet name="Newto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6" l="1"/>
  <c r="E5" i="6" s="1"/>
  <c r="C5" i="6"/>
  <c r="F5" i="6"/>
  <c r="E7" i="4"/>
  <c r="E6" i="4"/>
  <c r="F5" i="4" s="1"/>
  <c r="E5" i="4"/>
  <c r="F6" i="3"/>
  <c r="G6" i="3"/>
  <c r="F7" i="3"/>
  <c r="G7" i="3"/>
  <c r="E4" i="2"/>
  <c r="D5" i="2" s="1"/>
  <c r="C5" i="2"/>
  <c r="E5" i="2" s="1"/>
  <c r="C6" i="2" s="1"/>
  <c r="E8" i="4"/>
  <c r="F8" i="4"/>
  <c r="G8" i="4" s="1"/>
  <c r="F7" i="4"/>
  <c r="E4" i="4"/>
  <c r="F4" i="4" s="1"/>
  <c r="F4" i="3"/>
  <c r="G4" i="3" s="1"/>
  <c r="F5" i="3"/>
  <c r="G5" i="3" s="1"/>
  <c r="I4" i="2"/>
  <c r="E5" i="1"/>
  <c r="H5" i="1" s="1"/>
  <c r="D5" i="1"/>
  <c r="C5" i="1"/>
  <c r="F5" i="1" s="1"/>
  <c r="H7" i="4" l="1"/>
  <c r="H8" i="4"/>
  <c r="G4" i="4"/>
  <c r="H5" i="6"/>
  <c r="G6" i="1"/>
  <c r="H6" i="1"/>
  <c r="G5" i="1"/>
  <c r="C6" i="1"/>
  <c r="F7" i="1" s="1"/>
  <c r="G7" i="4"/>
  <c r="C6" i="6"/>
  <c r="G5" i="6"/>
  <c r="F6" i="4"/>
  <c r="I6" i="3"/>
  <c r="I5" i="2"/>
  <c r="E6" i="1"/>
  <c r="D6" i="1"/>
  <c r="E7" i="1"/>
  <c r="C7" i="1"/>
  <c r="D7" i="1" l="1"/>
  <c r="G5" i="4"/>
  <c r="H4" i="4" s="1"/>
  <c r="G6" i="4"/>
  <c r="H6" i="4" s="1"/>
  <c r="D6" i="6"/>
  <c r="F6" i="6"/>
  <c r="G7" i="1"/>
  <c r="F6" i="1"/>
  <c r="H7" i="1"/>
  <c r="D6" i="2"/>
  <c r="E6" i="2" s="1"/>
  <c r="C7" i="2" s="1"/>
  <c r="C8" i="1"/>
  <c r="D8" i="1"/>
  <c r="E8" i="1"/>
  <c r="E9" i="1" l="1"/>
  <c r="G9" i="1"/>
  <c r="I6" i="2"/>
  <c r="D9" i="1"/>
  <c r="G8" i="1"/>
  <c r="G6" i="6"/>
  <c r="E6" i="6"/>
  <c r="F8" i="1"/>
  <c r="H8" i="1"/>
  <c r="H5" i="4"/>
  <c r="D7" i="2"/>
  <c r="E7" i="2" s="1"/>
  <c r="C9" i="1"/>
  <c r="C8" i="2" l="1"/>
  <c r="D8" i="2"/>
  <c r="I8" i="2" s="1"/>
  <c r="H10" i="1"/>
  <c r="H6" i="6"/>
  <c r="F9" i="1"/>
  <c r="C7" i="6"/>
  <c r="H9" i="1"/>
  <c r="I7" i="2"/>
  <c r="D10" i="1"/>
  <c r="E10" i="1"/>
  <c r="C10" i="1"/>
  <c r="C11" i="1"/>
  <c r="D7" i="6" l="1"/>
  <c r="F7" i="6"/>
  <c r="F11" i="1"/>
  <c r="E8" i="2"/>
  <c r="C9" i="2" s="1"/>
  <c r="G11" i="1"/>
  <c r="G10" i="1"/>
  <c r="F10" i="1"/>
  <c r="D9" i="2"/>
  <c r="D11" i="1"/>
  <c r="E11" i="1"/>
  <c r="H11" i="1" s="1"/>
  <c r="C8" i="6" l="1"/>
  <c r="G7" i="6"/>
  <c r="E9" i="2"/>
  <c r="C10" i="2" s="1"/>
  <c r="E7" i="6"/>
  <c r="C12" i="1"/>
  <c r="E12" i="1"/>
  <c r="D12" i="1"/>
  <c r="I9" i="2"/>
  <c r="D8" i="6" l="1"/>
  <c r="F8" i="6"/>
  <c r="E13" i="1"/>
  <c r="F12" i="1"/>
  <c r="G13" i="1"/>
  <c r="G12" i="1"/>
  <c r="H13" i="1"/>
  <c r="H7" i="6"/>
  <c r="C13" i="1"/>
  <c r="D13" i="1"/>
  <c r="H12" i="1"/>
  <c r="D10" i="2"/>
  <c r="E10" i="2" s="1"/>
  <c r="C11" i="2" s="1"/>
  <c r="D14" i="1"/>
  <c r="C14" i="1"/>
  <c r="C9" i="6" l="1"/>
  <c r="G8" i="6"/>
  <c r="G14" i="1"/>
  <c r="E8" i="6"/>
  <c r="E14" i="1"/>
  <c r="H14" i="1" s="1"/>
  <c r="F14" i="1"/>
  <c r="F13" i="1"/>
  <c r="I10" i="2"/>
  <c r="H8" i="6" l="1"/>
  <c r="D9" i="6"/>
  <c r="F9" i="6"/>
  <c r="D11" i="2"/>
  <c r="E11" i="2" s="1"/>
  <c r="C12" i="2" s="1"/>
  <c r="C10" i="6" l="1"/>
  <c r="G9" i="6"/>
  <c r="E9" i="6"/>
  <c r="I11" i="2"/>
  <c r="E10" i="6" l="1"/>
  <c r="D10" i="6"/>
  <c r="F10" i="6"/>
  <c r="H9" i="6"/>
  <c r="D12" i="2"/>
  <c r="E12" i="2" s="1"/>
  <c r="C13" i="2" s="1"/>
  <c r="H10" i="6" l="1"/>
  <c r="C11" i="6"/>
  <c r="G10" i="6"/>
  <c r="I12" i="2"/>
  <c r="E11" i="6" l="1"/>
  <c r="D11" i="6"/>
  <c r="F11" i="6"/>
  <c r="D13" i="2"/>
  <c r="E13" i="2" s="1"/>
  <c r="C14" i="2" s="1"/>
  <c r="H11" i="6" l="1"/>
  <c r="C12" i="6"/>
  <c r="G11" i="6"/>
  <c r="I13" i="2"/>
  <c r="D12" i="6" l="1"/>
  <c r="E12" i="6"/>
  <c r="F12" i="6"/>
  <c r="D14" i="2"/>
  <c r="E14" i="2" s="1"/>
  <c r="C15" i="2" s="1"/>
  <c r="H12" i="6" l="1"/>
  <c r="C13" i="6"/>
  <c r="G12" i="6"/>
  <c r="I14" i="2"/>
  <c r="D13" i="6" l="1"/>
  <c r="F13" i="6"/>
  <c r="D15" i="2"/>
  <c r="E15" i="2" s="1"/>
  <c r="C16" i="2" s="1"/>
  <c r="G13" i="6" l="1"/>
  <c r="E13" i="6"/>
  <c r="I15" i="2"/>
  <c r="H13" i="6" l="1"/>
  <c r="C14" i="6"/>
  <c r="D16" i="2"/>
  <c r="E16" i="2" s="1"/>
  <c r="C17" i="2" s="1"/>
  <c r="E14" i="6" l="1"/>
  <c r="H14" i="6" s="1"/>
  <c r="D14" i="6"/>
  <c r="G14" i="6" s="1"/>
  <c r="F14" i="6"/>
  <c r="I16" i="2"/>
  <c r="D17" i="2" l="1"/>
  <c r="E17" i="2" s="1"/>
  <c r="C18" i="2" s="1"/>
  <c r="I17" i="2" l="1"/>
  <c r="D18" i="2" l="1"/>
  <c r="E18" i="2" s="1"/>
  <c r="C19" i="2" s="1"/>
  <c r="I18" i="2" l="1"/>
  <c r="D19" i="2" l="1"/>
  <c r="E19" i="2" s="1"/>
  <c r="C20" i="2" s="1"/>
  <c r="I19" i="2" l="1"/>
  <c r="D20" i="2" l="1"/>
  <c r="E20" i="2" s="1"/>
  <c r="C21" i="2" s="1"/>
  <c r="I20" i="2" l="1"/>
  <c r="D21" i="2" l="1"/>
  <c r="E21" i="2" s="1"/>
  <c r="C22" i="2" s="1"/>
  <c r="I21" i="2" l="1"/>
  <c r="D22" i="2" l="1"/>
  <c r="E22" i="2" s="1"/>
  <c r="C23" i="2" s="1"/>
  <c r="I22" i="2" l="1"/>
  <c r="D23" i="2" l="1"/>
  <c r="E23" i="2" s="1"/>
  <c r="C24" i="2" s="1"/>
  <c r="I23" i="2" l="1"/>
  <c r="D24" i="2" l="1"/>
  <c r="E24" i="2" s="1"/>
  <c r="I24" i="2" l="1"/>
</calcChain>
</file>

<file path=xl/sharedStrings.xml><?xml version="1.0" encoding="utf-8"?>
<sst xmlns="http://schemas.openxmlformats.org/spreadsheetml/2006/main" count="68" uniqueCount="47">
  <si>
    <t>Interação</t>
  </si>
  <si>
    <t>Valor (Aplicação)</t>
  </si>
  <si>
    <t>Precisão</t>
  </si>
  <si>
    <t>Valores (Matriz)</t>
  </si>
  <si>
    <t>N</t>
  </si>
  <si>
    <t>x1</t>
  </si>
  <si>
    <t>x2</t>
  </si>
  <si>
    <t>x3</t>
  </si>
  <si>
    <t>Δx1</t>
  </si>
  <si>
    <t>Δx2</t>
  </si>
  <si>
    <t>x32</t>
  </si>
  <si>
    <t>Igualdade</t>
  </si>
  <si>
    <t>BISSECÇÃO</t>
  </si>
  <si>
    <t>FUNÇÃO</t>
  </si>
  <si>
    <t>a</t>
  </si>
  <si>
    <t>b</t>
  </si>
  <si>
    <t>x</t>
  </si>
  <si>
    <t>f(a)</t>
  </si>
  <si>
    <t>f(b)</t>
  </si>
  <si>
    <t>f(x)</t>
  </si>
  <si>
    <t>b - a</t>
  </si>
  <si>
    <t>POLINÔMIO INTERPOLADOR DE LAGRANGE</t>
  </si>
  <si>
    <t>PONTOS</t>
  </si>
  <si>
    <t>POSIÇÃO CÁLCULADA</t>
  </si>
  <si>
    <t>RESPOSTA</t>
  </si>
  <si>
    <t>i</t>
  </si>
  <si>
    <t>xi</t>
  </si>
  <si>
    <t>f(xi)</t>
  </si>
  <si>
    <t>Termos</t>
  </si>
  <si>
    <t>lj(x)</t>
  </si>
  <si>
    <t>lj(x)*y(i)</t>
  </si>
  <si>
    <t>Info</t>
  </si>
  <si>
    <t>Número</t>
  </si>
  <si>
    <t>Grau</t>
  </si>
  <si>
    <t>Ll(x)</t>
  </si>
  <si>
    <t>VAGA</t>
  </si>
  <si>
    <t>POLINÔMIO INTERPOLADOR DE NEWTON</t>
  </si>
  <si>
    <t>Valores</t>
  </si>
  <si>
    <t>Ordem</t>
  </si>
  <si>
    <t>yi</t>
  </si>
  <si>
    <t>Ordem 1</t>
  </si>
  <si>
    <t>Ordem 2</t>
  </si>
  <si>
    <t>Ordem 3</t>
  </si>
  <si>
    <t>Ordem 4</t>
  </si>
  <si>
    <t>SISTEMAS LINEARES - JACOBI</t>
  </si>
  <si>
    <t>SISTEMAS LINEARES - SEIDEL</t>
  </si>
  <si>
    <t>Δx3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</si>
</sst>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074C5"/>
        <bgColor indexed="64"/>
      </patternFill>
    </fill>
    <fill>
      <patternFill patternType="solid">
        <fgColor rgb="FF935ED6"/>
        <bgColor indexed="64"/>
      </patternFill>
    </fill>
    <fill>
      <patternFill patternType="solid">
        <fgColor rgb="FFE37C2E"/>
        <bgColor indexed="64"/>
      </patternFill>
    </fill>
    <fill>
      <patternFill patternType="solid">
        <fgColor rgb="FFF7B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7AC46"/>
        <bgColor indexed="64"/>
      </patternFill>
    </fill>
    <fill>
      <patternFill patternType="solid">
        <fgColor rgb="FFA5A5A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0" fillId="0" borderId="7" xfId="0" applyBorder="1"/>
    <xf numFmtId="0" fontId="6" fillId="0" borderId="8" xfId="0" applyFont="1" applyBorder="1"/>
    <xf numFmtId="0" fontId="5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6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79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0000"/>
      </font>
      <numFmt numFmtId="0" formatCode="General"/>
      <alignment horizontal="center"/>
    </dxf>
    <dxf>
      <font>
        <color rgb="FF000000"/>
      </font>
      <numFmt numFmtId="0" formatCode="General"/>
      <alignment horizontal="center"/>
    </dxf>
    <dxf>
      <font>
        <color rgb="FF000000"/>
      </font>
      <numFmt numFmtId="0" formatCode="General"/>
      <alignment horizontal="center"/>
    </dxf>
    <dxf>
      <font>
        <color rgb="FF000000"/>
      </font>
      <numFmt numFmtId="0" formatCode="General"/>
      <alignment horizontal="center"/>
    </dxf>
    <dxf>
      <font>
        <color rgb="FF000000"/>
      </font>
      <alignment horizontal="center"/>
    </dxf>
    <dxf>
      <numFmt numFmtId="0" formatCode="General"/>
      <alignment horizontal="center" wrapText="0"/>
      <border>
        <left style="thin">
          <color rgb="FF000000"/>
        </left>
        <right style="thin">
          <color rgb="FF000000"/>
        </right>
      </border>
    </dxf>
    <dxf>
      <alignment horizontal="center" wrapText="0"/>
      <border>
        <left style="thin">
          <color rgb="FF000000"/>
        </left>
        <right style="thin">
          <color rgb="FF000000"/>
        </right>
      </border>
    </dxf>
    <dxf>
      <font>
        <b/>
        <color theme="0"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0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wrapText="0"/>
      <border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wrapText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wrapText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wrapText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/>
      <border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/>
      <border>
        <left style="thin">
          <color rgb="FF000000"/>
        </left>
        <right style="thin">
          <color rgb="FF000000"/>
        </right>
      </border>
    </dxf>
    <dxf>
      <alignment horizontal="center" wrapText="0"/>
    </dxf>
    <dxf>
      <font>
        <b/>
        <color theme="0"/>
      </font>
      <alignment horizontal="center" wrapTex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>
        <left style="thin">
          <color rgb="FF000000"/>
        </left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8" tint="0.79995117038483843"/>
          <bgColor rgb="FFE2DDF7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rgb="FF955BD5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  <dxf>
      <fill>
        <patternFill>
          <bgColor rgb="FFB19CD9"/>
        </patternFill>
      </fill>
    </dxf>
    <dxf>
      <fill>
        <patternFill>
          <bgColor rgb="FF7653BD"/>
        </patternFill>
      </fill>
    </dxf>
    <dxf>
      <fill>
        <patternFill>
          <bgColor rgb="FF5E3D9F"/>
        </patternFill>
      </fill>
    </dxf>
    <dxf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 style="hair">
          <color auto="1"/>
        </horizontal>
      </border>
    </dxf>
  </dxfs>
  <tableStyles count="3" defaultTableStyle="TableStyleMedium2" defaultPivotStyle="PivotStyleMedium9">
    <tableStyle name="Table Style 1" pivot="0" count="0" xr9:uid="{38A84C71-7F09-4571-8F02-A4CE054D42F6}"/>
    <tableStyle name="Purple" pivot="0" count="4" xr9:uid="{E5033B15-DEF9-4E53-9CD5-743BEEA85201}">
      <tableStyleElement type="wholeTable" dxfId="78"/>
      <tableStyleElement type="headerRow" dxfId="77"/>
      <tableStyleElement type="firstRowStripe" dxfId="76"/>
      <tableStyleElement type="secondRowStripe" dxfId="75"/>
    </tableStyle>
    <tableStyle name="Purple-Main Table" pivot="0" count="6" xr9:uid="{857EDE21-F536-4B55-B74C-54E9A6FFB1EF}">
      <tableStyleElement type="wholeTable" dxfId="74"/>
      <tableStyleElement type="headerRow" dxfId="73"/>
      <tableStyleElement type="totalRow" dxfId="72"/>
      <tableStyleElement type="firstColumn" dxfId="71"/>
      <tableStyleElement type="lastColumn" dxfId="70"/>
      <tableStyleElement type="firstRowStripe" dxfId="69"/>
    </tableStyle>
  </tableStyles>
  <colors>
    <mruColors>
      <color rgb="FFA5A5A5"/>
      <color rgb="FF77AC46"/>
      <color rgb="FF5074C5"/>
      <color rgb="FFF7BF00"/>
      <color rgb="FFE37C2E"/>
      <color rgb="FF935ED6"/>
      <color rgb="FF5E40A0"/>
      <color rgb="FF7656BE"/>
      <color rgb="FF5E3D9F"/>
      <color rgb="FF765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CE7AD-7D83-4388-BABD-9691B076BBBB}" name="Table1" displayName="Table1" ref="K3:N6" totalsRowShown="0" headerRowDxfId="68" dataDxfId="4">
  <autoFilter ref="K3:N6" xr:uid="{7D4CE7AD-7D83-4388-BABD-9691B076BBBB}"/>
  <tableColumns count="4">
    <tableColumn id="1" xr3:uid="{85D21381-7EAC-42E5-B4DC-5629383B9434}" name="x1" dataDxfId="3"/>
    <tableColumn id="2" xr3:uid="{B77C55E8-DEEE-41C8-9AD6-50A09C54C70F}" name="x2" dataDxfId="2"/>
    <tableColumn id="3" xr3:uid="{84052B22-E2E9-48E5-9C56-49F600EC333B}" name="x3" dataDxfId="1"/>
    <tableColumn id="4" xr3:uid="{B0159775-53A4-430F-8281-9344C52FC0B5}" name="Igualdad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190D1-A81B-4FD6-B90A-302E67B34006}" name="Table2" displayName="Table2" ref="B3:H14" totalsRowShown="0" headerRowDxfId="67" dataDxfId="66">
  <autoFilter ref="B3:H14" xr:uid="{14D190D1-A81B-4FD6-B90A-302E67B34006}"/>
  <tableColumns count="7">
    <tableColumn id="1" xr3:uid="{6B7014C5-B393-4551-99C5-D69E22BCA2A1}" name="N" dataDxfId="65"/>
    <tableColumn id="2" xr3:uid="{9EB42B44-08CA-489C-8E13-53DCC06784FF}" name="x1" dataDxfId="64"/>
    <tableColumn id="3" xr3:uid="{01A8D2CE-D212-48B7-96F5-64004DE52476}" name="x2" dataDxfId="63"/>
    <tableColumn id="4" xr3:uid="{71DE8002-5B74-4070-94C3-4A5E7EDAB7AD}" name="x3" dataDxfId="62"/>
    <tableColumn id="5" xr3:uid="{631810F8-CA4D-4700-8459-C841DAF954A5}" name="Δx1" dataDxfId="13">
      <calculatedColumnFormula>(Table2[[#This Row],[x1]]-C3)</calculatedColumnFormula>
    </tableColumn>
    <tableColumn id="6" xr3:uid="{E17A8AB6-C9B6-4107-8E2B-201E756E149E}" name="Δx2" dataDxfId="12"/>
    <tableColumn id="7" xr3:uid="{085FA800-56B0-4FCD-BCC0-A8979227F9EC}" name="Δx3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97C5E-3241-47A8-8729-E2EB6C2604C3}" name="Table15" displayName="Table15" ref="K3:N6" totalsRowShown="0" headerRowDxfId="22" dataDxfId="18">
  <autoFilter ref="K3:N6" xr:uid="{7D4CE7AD-7D83-4388-BABD-9691B076BBBB}"/>
  <tableColumns count="4">
    <tableColumn id="1" xr3:uid="{9C0E8CE7-0B5C-408D-B644-5AFEC9CBB560}" name="x1" dataDxfId="17"/>
    <tableColumn id="2" xr3:uid="{7C879C62-B2B9-4693-9401-306433D95803}" name="x2" dataDxfId="16"/>
    <tableColumn id="3" xr3:uid="{413963D5-BEDC-4CCF-810C-B86FBA2FAA7C}" name="x3" dataDxfId="15"/>
    <tableColumn id="4" xr3:uid="{AE4C67C5-EA6A-4431-8927-84CF41885AEE}" name="Igualdad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43A5BF-3B1D-465F-8D50-9385891E339B}" name="Table211" displayName="Table211" ref="B3:H14" totalsRowShown="0" headerRowDxfId="21" dataDxfId="20">
  <autoFilter ref="B3:H14" xr:uid="{14D190D1-A81B-4FD6-B90A-302E67B34006}"/>
  <tableColumns count="7">
    <tableColumn id="1" xr3:uid="{8065DED9-8664-46D8-93DC-CC8732AD69D8}" name="N" dataDxfId="19"/>
    <tableColumn id="2" xr3:uid="{9A519208-E815-43A4-85EC-27D935381BC9}" name="x1" dataDxfId="7"/>
    <tableColumn id="3" xr3:uid="{A70F5730-ED03-42AB-B8FF-C9536E45C565}" name="x2" dataDxfId="6"/>
    <tableColumn id="4" xr3:uid="{920C6AE6-EFE5-445D-B656-F26F542BD1A0}" name="x3" dataDxfId="5"/>
    <tableColumn id="5" xr3:uid="{89F4B0E3-6291-4209-8757-1542D3FE9528}" name="Δx1" dataDxfId="10">
      <calculatedColumnFormula>(Table211[[#This Row],[x1]]-C3)</calculatedColumnFormula>
    </tableColumn>
    <tableColumn id="6" xr3:uid="{0E6C0825-7C58-49BD-9253-9C806425E24A}" name="Δx2" dataDxfId="9"/>
    <tableColumn id="7" xr3:uid="{4AAED7FF-BEAF-42F6-8515-7002F299897A}" name="x32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DF43D-7174-4083-99C4-5F5AB812AAC1}" name="Table3" displayName="Table3" ref="B3:I24" headerRowDxfId="61" dataDxfId="60">
  <autoFilter ref="B3:I24" xr:uid="{CA5DF43D-7174-4083-99C4-5F5AB812AAC1}"/>
  <tableColumns count="8">
    <tableColumn id="1" xr3:uid="{37116874-AE50-4C3C-9DD6-AB2C896C2C7B}" name="N" totalsRowLabel="Total" dataDxfId="59" totalsRowDxfId="58"/>
    <tableColumn id="2" xr3:uid="{B3ECE0DE-56B1-4432-B529-258320B9F4C4}" name="a" dataDxfId="29" totalsRowDxfId="57"/>
    <tableColumn id="3" xr3:uid="{70DDD3F5-2E57-4156-8F5F-A33E85AAF080}" name="b" dataDxfId="56" totalsRowDxfId="55"/>
    <tableColumn id="4" xr3:uid="{21BAE3A7-01E6-44BE-916F-A00EF0BD2349}" name="x" dataDxfId="28" totalsRowDxfId="54">
      <calculatedColumnFormula>ROUND((C4+D4)/2,6)</calculatedColumnFormula>
    </tableColumn>
    <tableColumn id="5" xr3:uid="{E0978248-1055-4757-9B17-C79F5714BA77}" name="f(a)" dataDxfId="53" totalsRowDxfId="52"/>
    <tableColumn id="6" xr3:uid="{13B90B5D-CAEB-4EE1-B7BE-D226D1A9FA9A}" name="f(b)" dataDxfId="51" totalsRowDxfId="50"/>
    <tableColumn id="7" xr3:uid="{EC934254-DE38-462C-98AF-9C156DD09D2B}" name="f(x)" dataDxfId="49" totalsRowDxfId="48"/>
    <tableColumn id="8" xr3:uid="{A927BBC3-28EB-4B87-B992-9E88692635BD}" name="b - a" totalsRowFunction="count" dataDxfId="47" totalsRowDxfId="46">
      <calculatedColumnFormula>ROUND((D4-C4),6)</calculatedColumnFormula>
    </tableColumn>
  </tableColumns>
  <tableStyleInfo name="Purple-Mai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D74070-D367-4512-875F-715997A7A4CC}" name="Table5" displayName="Table5" ref="B3:D7" totalsRowShown="0" headerRowDxfId="45" dataDxfId="44">
  <autoFilter ref="B3:D7" xr:uid="{15D74070-D367-4512-875F-715997A7A4CC}"/>
  <tableColumns count="3">
    <tableColumn id="1" xr3:uid="{F24D6B1D-EC31-4715-8B13-B1D873AF007C}" name="i" dataDxfId="43"/>
    <tableColumn id="2" xr3:uid="{E1EE6635-82E5-471C-861A-A6EB1A9C519C}" name="xi" dataDxfId="42"/>
    <tableColumn id="3" xr3:uid="{DB64293B-D272-40FB-97E9-6143DF02F86C}" name="f(xi)" dataDxfId="4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C61E6D-D77A-45DD-AA5F-5C3EB7EFCE8F}" name="Table6" displayName="Table6" ref="E3:G7" totalsRowShown="0">
  <autoFilter ref="E3:G7" xr:uid="{4AC61E6D-D77A-45DD-AA5F-5C3EB7EFCE8F}"/>
  <tableColumns count="3">
    <tableColumn id="1" xr3:uid="{BF05EAD5-6B5B-4B38-AA21-F4501A675942}" name="Termos"/>
    <tableColumn id="2" xr3:uid="{06BBBFAF-5366-48ED-ACD0-7D2C066ADAF1}" name="lj(x)" dataDxfId="40"/>
    <tableColumn id="3" xr3:uid="{16F7780B-AC0C-4643-819C-4E08B2A30137}" name="lj(x)*y(i)" dataDxfId="39">
      <calculatedColumnFormula>F4*D4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1E2C8E-5713-4EF6-8135-A0CA41F14E9E}" name="Table7" displayName="Table7" ref="H3:I6" totalsRowShown="0" headerRowDxfId="38">
  <autoFilter ref="H3:I6" xr:uid="{731E2C8E-5713-4EF6-8135-A0CA41F14E9E}"/>
  <tableColumns count="2">
    <tableColumn id="1" xr3:uid="{2894579B-EE5C-45D7-B12F-0AA330900515}" name="Info" dataDxfId="37"/>
    <tableColumn id="2" xr3:uid="{F06EEE62-E8C9-40BD-91DC-7CF74A06AC9F}" name="Número" dataDxfId="36"/>
  </tableColumns>
  <tableStyleInfo name="TableStyleMedium2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6C2C-992F-4CFD-B117-79873408CFD2}" name="Table8" displayName="Table8" ref="B3:D8" totalsRowShown="0" headerRowDxfId="35" dataDxfId="34">
  <autoFilter ref="B3:D8" xr:uid="{D4C56C2C-992F-4CFD-B117-79873408CFD2}"/>
  <tableColumns count="3">
    <tableColumn id="1" xr3:uid="{2551832C-AB1B-438A-8807-BB5225C981A4}" name="i" dataDxfId="33"/>
    <tableColumn id="2" xr3:uid="{D0B73F8B-855C-45B3-97D4-DAE4BA936537}" name="xi" dataDxfId="32"/>
    <tableColumn id="3" xr3:uid="{16FE15A7-C99E-4391-89D9-85E3980CC8C6}" name="yi" dataDxfId="3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41A707-70AB-49C9-8520-7450D09B1881}" name="Table9" displayName="Table9" ref="E3:H8" totalsRowShown="0" headerRowDxfId="30" dataDxfId="27">
  <autoFilter ref="E3:H8" xr:uid="{A841A707-70AB-49C9-8520-7450D09B1881}"/>
  <tableColumns count="4">
    <tableColumn id="2" xr3:uid="{D6AF72BE-448A-490A-9772-7329DB116300}" name="Ordem 1" dataDxfId="26"/>
    <tableColumn id="3" xr3:uid="{1F32AAFA-7E62-4F56-A188-40D0C9524323}" name="Ordem 2" dataDxfId="25"/>
    <tableColumn id="4" xr3:uid="{0FB7ADC9-CEAE-4D4A-B8EA-A39245C45C07}" name="Ordem 3" dataDxfId="24"/>
    <tableColumn id="5" xr3:uid="{E04658AC-77E9-4307-9CAB-B0F45AF5F387}" name="Ordem 4" dataDxfId="2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P11" sqref="P11"/>
    </sheetView>
  </sheetViews>
  <sheetFormatPr defaultRowHeight="14.5" x14ac:dyDescent="0.35"/>
  <cols>
    <col min="14" max="14" width="12.1796875" bestFit="1" customWidth="1"/>
  </cols>
  <sheetData>
    <row r="1" spans="1:14" x14ac:dyDescent="0.35">
      <c r="A1" s="1"/>
      <c r="B1" s="42" t="s">
        <v>44</v>
      </c>
      <c r="C1" s="40"/>
      <c r="D1" s="40"/>
      <c r="E1" s="40"/>
      <c r="F1" s="40"/>
      <c r="G1" s="40"/>
      <c r="H1" s="41"/>
    </row>
    <row r="2" spans="1:14" ht="18.5" x14ac:dyDescent="0.45">
      <c r="A2" s="1"/>
      <c r="B2" s="12" t="s">
        <v>0</v>
      </c>
      <c r="C2" s="39" t="s">
        <v>1</v>
      </c>
      <c r="D2" s="40"/>
      <c r="E2" s="40"/>
      <c r="F2" s="39" t="s">
        <v>2</v>
      </c>
      <c r="G2" s="40"/>
      <c r="H2" s="41"/>
      <c r="K2" s="36" t="s">
        <v>3</v>
      </c>
      <c r="L2" s="37"/>
      <c r="M2" s="37"/>
      <c r="N2" s="38"/>
    </row>
    <row r="3" spans="1:14" x14ac:dyDescent="0.35">
      <c r="B3" s="4" t="s">
        <v>4</v>
      </c>
      <c r="C3" s="4" t="s">
        <v>5</v>
      </c>
      <c r="D3" s="1" t="s">
        <v>6</v>
      </c>
      <c r="E3" s="1" t="s">
        <v>7</v>
      </c>
      <c r="F3" s="4" t="s">
        <v>8</v>
      </c>
      <c r="G3" s="62" t="s">
        <v>9</v>
      </c>
      <c r="H3" s="9" t="s">
        <v>46</v>
      </c>
      <c r="K3" s="11" t="s">
        <v>5</v>
      </c>
      <c r="L3" s="11" t="s">
        <v>6</v>
      </c>
      <c r="M3" s="11" t="s">
        <v>7</v>
      </c>
      <c r="N3" s="10" t="s">
        <v>11</v>
      </c>
    </row>
    <row r="4" spans="1:14" x14ac:dyDescent="0.35">
      <c r="B4" s="4">
        <v>0</v>
      </c>
      <c r="C4" s="4">
        <v>0</v>
      </c>
      <c r="D4" s="1">
        <v>0</v>
      </c>
      <c r="E4" s="1">
        <v>0</v>
      </c>
      <c r="F4" s="4">
        <v>0</v>
      </c>
      <c r="G4" s="62">
        <v>0</v>
      </c>
      <c r="H4" s="5">
        <v>0</v>
      </c>
      <c r="K4" s="4">
        <v>8</v>
      </c>
      <c r="L4" s="4">
        <v>-4</v>
      </c>
      <c r="M4" s="4">
        <v>-3</v>
      </c>
      <c r="N4" s="2">
        <v>14</v>
      </c>
    </row>
    <row r="5" spans="1:14" x14ac:dyDescent="0.35">
      <c r="B5" s="4">
        <v>1</v>
      </c>
      <c r="C5" s="4">
        <f>ROUND(($N$4-$L$4*D4-$M$4*E4)/$K$4,3)</f>
        <v>1.75</v>
      </c>
      <c r="D5" s="1">
        <f>ROUND(($N$5-$K$5*C4-$M$5*E4)/$L$5,3)</f>
        <v>0.2</v>
      </c>
      <c r="E5" s="1">
        <f>ROUND(($N$6-$K$6*C4-$L$6*D4)/$M$6,3)</f>
        <v>1</v>
      </c>
      <c r="F5" s="4">
        <f>ROUND((Table2[[#This Row],[x1]]-C4),3)</f>
        <v>1.75</v>
      </c>
      <c r="G5" s="62">
        <f>ROUND((Table2[[#This Row],[x2]]-D4),3)</f>
        <v>0.2</v>
      </c>
      <c r="H5" s="5">
        <f>ROUND((Table2[[#This Row],[x3]]-E4),3)</f>
        <v>1</v>
      </c>
      <c r="K5" s="4">
        <v>2</v>
      </c>
      <c r="L5" s="4">
        <v>-5</v>
      </c>
      <c r="M5" s="4">
        <v>3</v>
      </c>
      <c r="N5" s="2">
        <v>-1</v>
      </c>
    </row>
    <row r="6" spans="1:14" x14ac:dyDescent="0.35">
      <c r="B6" s="4">
        <v>2</v>
      </c>
      <c r="C6" s="4">
        <f t="shared" ref="C6:C14" si="0">ROUND(($N$4-$L$4*D5-$M$4*E5)/$K$4,3)</f>
        <v>2.2250000000000001</v>
      </c>
      <c r="D6" s="1">
        <f t="shared" ref="D6:D14" si="1">ROUND(($N$5-$K$5*C5-$M$5*E5)/$L$5,3)</f>
        <v>1.5</v>
      </c>
      <c r="E6" s="1">
        <f t="shared" ref="E6:E14" si="2">ROUND(($N$6-$K$6*C5-$L$6*D5)/$M$6,3)</f>
        <v>1.5609999999999999</v>
      </c>
      <c r="F6" s="4">
        <f>ROUND((Table2[[#This Row],[x1]]-C5),3)</f>
        <v>0.47499999999999998</v>
      </c>
      <c r="G6" s="62">
        <f>ROUND((Table2[[#This Row],[x2]]-D5),3)</f>
        <v>1.3</v>
      </c>
      <c r="H6" s="5">
        <f>ROUND((Table2[[#This Row],[x3]]-E5),3)</f>
        <v>0.56100000000000005</v>
      </c>
      <c r="K6" s="6">
        <v>-3</v>
      </c>
      <c r="L6" s="6">
        <v>1</v>
      </c>
      <c r="M6" s="6">
        <v>9</v>
      </c>
      <c r="N6" s="3">
        <v>9</v>
      </c>
    </row>
    <row r="7" spans="1:14" x14ac:dyDescent="0.35">
      <c r="B7" s="4">
        <v>3</v>
      </c>
      <c r="C7" s="4">
        <f t="shared" si="0"/>
        <v>3.085</v>
      </c>
      <c r="D7" s="1">
        <f t="shared" si="1"/>
        <v>2.0270000000000001</v>
      </c>
      <c r="E7" s="1">
        <f t="shared" si="2"/>
        <v>1.575</v>
      </c>
      <c r="F7" s="4">
        <f>ROUND((Table2[[#This Row],[x1]]-C6),3)</f>
        <v>0.86</v>
      </c>
      <c r="G7" s="62">
        <f>ROUND((Table2[[#This Row],[x2]]-D6),3)</f>
        <v>0.52700000000000002</v>
      </c>
      <c r="H7" s="5">
        <f>ROUND((Table2[[#This Row],[x3]]-E6),3)</f>
        <v>1.4E-2</v>
      </c>
    </row>
    <row r="8" spans="1:14" x14ac:dyDescent="0.35">
      <c r="B8" s="4">
        <v>4</v>
      </c>
      <c r="C8" s="4">
        <f t="shared" si="0"/>
        <v>3.3540000000000001</v>
      </c>
      <c r="D8" s="1">
        <f t="shared" si="1"/>
        <v>2.379</v>
      </c>
      <c r="E8" s="1">
        <f t="shared" si="2"/>
        <v>1.8029999999999999</v>
      </c>
      <c r="F8" s="4">
        <f>ROUND((Table2[[#This Row],[x1]]-C7),3)</f>
        <v>0.26900000000000002</v>
      </c>
      <c r="G8" s="62">
        <f>ROUND((Table2[[#This Row],[x2]]-D7),3)</f>
        <v>0.35199999999999998</v>
      </c>
      <c r="H8" s="5">
        <f>ROUND((Table2[[#This Row],[x3]]-E7),3)</f>
        <v>0.22800000000000001</v>
      </c>
    </row>
    <row r="9" spans="1:14" x14ac:dyDescent="0.35">
      <c r="B9" s="4">
        <v>5</v>
      </c>
      <c r="C9" s="4">
        <f t="shared" si="0"/>
        <v>3.6160000000000001</v>
      </c>
      <c r="D9" s="1">
        <f t="shared" si="1"/>
        <v>2.6230000000000002</v>
      </c>
      <c r="E9" s="1">
        <f t="shared" si="2"/>
        <v>1.8540000000000001</v>
      </c>
      <c r="F9" s="4">
        <f>ROUND((Table2[[#This Row],[x1]]-C8),3)</f>
        <v>0.26200000000000001</v>
      </c>
      <c r="G9" s="62">
        <f>ROUND((Table2[[#This Row],[x2]]-D8),3)</f>
        <v>0.24399999999999999</v>
      </c>
      <c r="H9" s="5">
        <f>ROUND((Table2[[#This Row],[x3]]-E8),3)</f>
        <v>5.0999999999999997E-2</v>
      </c>
    </row>
    <row r="10" spans="1:14" x14ac:dyDescent="0.35">
      <c r="B10" s="4">
        <v>6</v>
      </c>
      <c r="C10" s="4">
        <f t="shared" si="0"/>
        <v>3.7570000000000001</v>
      </c>
      <c r="D10" s="1">
        <f t="shared" si="1"/>
        <v>2.7589999999999999</v>
      </c>
      <c r="E10" s="1">
        <f t="shared" si="2"/>
        <v>1.9139999999999999</v>
      </c>
      <c r="F10" s="4">
        <f>ROUND((Table2[[#This Row],[x1]]-C9),3)</f>
        <v>0.14099999999999999</v>
      </c>
      <c r="G10" s="62">
        <f>ROUND((Table2[[#This Row],[x2]]-D9),3)</f>
        <v>0.13600000000000001</v>
      </c>
      <c r="H10" s="5">
        <f>ROUND((Table2[[#This Row],[x3]]-E9),3)</f>
        <v>0.06</v>
      </c>
    </row>
    <row r="11" spans="1:14" x14ac:dyDescent="0.35">
      <c r="B11" s="4">
        <v>7</v>
      </c>
      <c r="C11" s="4">
        <f t="shared" si="0"/>
        <v>3.847</v>
      </c>
      <c r="D11" s="1">
        <f t="shared" si="1"/>
        <v>2.851</v>
      </c>
      <c r="E11" s="1">
        <f t="shared" si="2"/>
        <v>1.946</v>
      </c>
      <c r="F11" s="4">
        <f>ROUND((Table2[[#This Row],[x1]]-C10),3)</f>
        <v>0.09</v>
      </c>
      <c r="G11" s="62">
        <f>ROUND((Table2[[#This Row],[x2]]-D10),3)</f>
        <v>9.1999999999999998E-2</v>
      </c>
      <c r="H11" s="5">
        <f>ROUND((Table2[[#This Row],[x3]]-E10),3)</f>
        <v>3.2000000000000001E-2</v>
      </c>
    </row>
    <row r="12" spans="1:14" x14ac:dyDescent="0.35">
      <c r="B12" s="4">
        <v>8</v>
      </c>
      <c r="C12" s="4">
        <f t="shared" si="0"/>
        <v>3.9049999999999998</v>
      </c>
      <c r="D12" s="1">
        <f t="shared" si="1"/>
        <v>2.9060000000000001</v>
      </c>
      <c r="E12" s="1">
        <f t="shared" si="2"/>
        <v>1.966</v>
      </c>
      <c r="F12" s="4">
        <f>ROUND((Table2[[#This Row],[x1]]-C11),3)</f>
        <v>5.8000000000000003E-2</v>
      </c>
      <c r="G12" s="62">
        <f>ROUND((Table2[[#This Row],[x2]]-D11),3)</f>
        <v>5.5E-2</v>
      </c>
      <c r="H12" s="5">
        <f>ROUND((Table2[[#This Row],[x3]]-E11),3)</f>
        <v>0.02</v>
      </c>
    </row>
    <row r="13" spans="1:14" x14ac:dyDescent="0.35">
      <c r="B13" s="4">
        <v>9</v>
      </c>
      <c r="C13" s="4">
        <f t="shared" si="0"/>
        <v>3.94</v>
      </c>
      <c r="D13" s="1">
        <f t="shared" si="1"/>
        <v>2.9420000000000002</v>
      </c>
      <c r="E13" s="1">
        <f t="shared" si="2"/>
        <v>1.9790000000000001</v>
      </c>
      <c r="F13" s="4">
        <f>ROUND((Table2[[#This Row],[x1]]-C12),3)</f>
        <v>3.5000000000000003E-2</v>
      </c>
      <c r="G13" s="62">
        <f>ROUND((Table2[[#This Row],[x2]]-D12),3)</f>
        <v>3.5999999999999997E-2</v>
      </c>
      <c r="H13" s="5">
        <f>ROUND((Table2[[#This Row],[x3]]-E12),3)</f>
        <v>1.2999999999999999E-2</v>
      </c>
    </row>
    <row r="14" spans="1:14" x14ac:dyDescent="0.35">
      <c r="B14" s="6">
        <v>10</v>
      </c>
      <c r="C14" s="6">
        <f t="shared" si="0"/>
        <v>3.9630000000000001</v>
      </c>
      <c r="D14" s="7">
        <f t="shared" si="1"/>
        <v>2.9630000000000001</v>
      </c>
      <c r="E14" s="7">
        <f t="shared" si="2"/>
        <v>1.986</v>
      </c>
      <c r="F14" s="6">
        <f>ROUND((Table2[[#This Row],[x1]]-C13),3)</f>
        <v>2.3E-2</v>
      </c>
      <c r="G14" s="7">
        <f>ROUND((Table2[[#This Row],[x2]]-D13),3)</f>
        <v>2.1000000000000001E-2</v>
      </c>
      <c r="H14" s="8">
        <f>ROUND((Table2[[#This Row],[x3]]-E13),3)</f>
        <v>7.0000000000000001E-3</v>
      </c>
    </row>
  </sheetData>
  <mergeCells count="4">
    <mergeCell ref="K2:N2"/>
    <mergeCell ref="F2:H2"/>
    <mergeCell ref="C2:E2"/>
    <mergeCell ref="B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5BD-E6FA-4B21-A745-88D78DF2F2C6}">
  <dimension ref="A1:N15"/>
  <sheetViews>
    <sheetView workbookViewId="0">
      <selection activeCell="K2" sqref="K2:N6"/>
    </sheetView>
  </sheetViews>
  <sheetFormatPr defaultRowHeight="15" x14ac:dyDescent="0.35"/>
  <cols>
    <col min="14" max="14" width="12.1796875" bestFit="1" customWidth="1"/>
  </cols>
  <sheetData>
    <row r="1" spans="1:14" ht="14.5" x14ac:dyDescent="0.35">
      <c r="A1" s="1"/>
      <c r="B1" s="42" t="s">
        <v>45</v>
      </c>
      <c r="C1" s="40"/>
      <c r="D1" s="40"/>
      <c r="E1" s="40"/>
      <c r="F1" s="40"/>
      <c r="G1" s="40"/>
      <c r="H1" s="41"/>
    </row>
    <row r="2" spans="1:14" ht="18.5" customHeight="1" x14ac:dyDescent="0.45">
      <c r="A2" s="1"/>
      <c r="B2" s="12" t="s">
        <v>0</v>
      </c>
      <c r="C2" s="39" t="s">
        <v>1</v>
      </c>
      <c r="D2" s="40"/>
      <c r="E2" s="41"/>
      <c r="F2" s="39" t="s">
        <v>2</v>
      </c>
      <c r="G2" s="40"/>
      <c r="H2" s="41"/>
      <c r="K2" s="36" t="s">
        <v>3</v>
      </c>
      <c r="L2" s="37"/>
      <c r="M2" s="37"/>
      <c r="N2" s="38"/>
    </row>
    <row r="3" spans="1:14" ht="14.5" x14ac:dyDescent="0.35">
      <c r="B3" s="4" t="s">
        <v>4</v>
      </c>
      <c r="C3" s="4" t="s">
        <v>5</v>
      </c>
      <c r="D3" s="62" t="s">
        <v>6</v>
      </c>
      <c r="E3" s="5" t="s">
        <v>7</v>
      </c>
      <c r="F3" s="4" t="s">
        <v>8</v>
      </c>
      <c r="G3" s="62" t="s">
        <v>9</v>
      </c>
      <c r="H3" s="61" t="s">
        <v>10</v>
      </c>
      <c r="K3" s="11" t="s">
        <v>5</v>
      </c>
      <c r="L3" s="11" t="s">
        <v>6</v>
      </c>
      <c r="M3" s="11" t="s">
        <v>7</v>
      </c>
      <c r="N3" s="10" t="s">
        <v>11</v>
      </c>
    </row>
    <row r="4" spans="1:14" ht="14.5" x14ac:dyDescent="0.35">
      <c r="B4" s="4">
        <v>0</v>
      </c>
      <c r="C4" s="4">
        <v>0</v>
      </c>
      <c r="D4" s="62">
        <v>0</v>
      </c>
      <c r="E4" s="5">
        <v>0</v>
      </c>
      <c r="F4" s="4">
        <v>0</v>
      </c>
      <c r="G4" s="62">
        <v>0</v>
      </c>
      <c r="H4" s="5">
        <v>0</v>
      </c>
      <c r="K4" s="4">
        <v>8</v>
      </c>
      <c r="L4" s="4">
        <v>-4</v>
      </c>
      <c r="M4" s="4">
        <v>-3</v>
      </c>
      <c r="N4" s="2">
        <v>14</v>
      </c>
    </row>
    <row r="5" spans="1:14" ht="14.5" x14ac:dyDescent="0.35">
      <c r="B5" s="4">
        <v>1</v>
      </c>
      <c r="C5" s="4">
        <f>ROUND((($N$4-L4*D4-M4*E4)/$K$4),3)</f>
        <v>1.75</v>
      </c>
      <c r="D5" s="62">
        <f>ROUND((($N$5-$K$5*C5-$M$5*E4)/$L$5),3)</f>
        <v>0.9</v>
      </c>
      <c r="E5" s="5">
        <f>ROUND((($N$6-$K$6*C5-$L$6*D5)/$M$6),3)</f>
        <v>1.4830000000000001</v>
      </c>
      <c r="F5" s="4">
        <f>ROUND((Table211[[#This Row],[x1]]-C4),3)</f>
        <v>1.75</v>
      </c>
      <c r="G5" s="62">
        <f>ROUND((Table211[[#This Row],[x2]]-D4),3)</f>
        <v>0.9</v>
      </c>
      <c r="H5" s="5">
        <f>ROUND((Table211[[#This Row],[x3]]-E4),3)</f>
        <v>1.4830000000000001</v>
      </c>
      <c r="K5" s="4">
        <v>2</v>
      </c>
      <c r="L5" s="4">
        <v>-5</v>
      </c>
      <c r="M5" s="4">
        <v>3</v>
      </c>
      <c r="N5" s="2">
        <v>-1</v>
      </c>
    </row>
    <row r="6" spans="1:14" ht="14.5" x14ac:dyDescent="0.35">
      <c r="B6" s="4">
        <v>2</v>
      </c>
      <c r="C6" s="4">
        <f>ROUND((($N$4-L5*D5-M5*E5)/$K$4),3)</f>
        <v>1.756</v>
      </c>
      <c r="D6" s="62">
        <f>ROUND((($N$5-$K$5*C6-$M$5*E5)/$L$5),3)</f>
        <v>1.792</v>
      </c>
      <c r="E6" s="5">
        <f>ROUND((($N$6-$K$6*C6-$L$6*D6)/$M$6),3)</f>
        <v>1.3859999999999999</v>
      </c>
      <c r="F6" s="4">
        <f>ROUND((Table211[[#This Row],[x1]]-C5),3)</f>
        <v>6.0000000000000001E-3</v>
      </c>
      <c r="G6" s="62">
        <f>ROUND((Table211[[#This Row],[x2]]-D5),3)</f>
        <v>0.89200000000000002</v>
      </c>
      <c r="H6" s="5">
        <f>ROUND((Table211[[#This Row],[x3]]-E5),3)</f>
        <v>-9.7000000000000003E-2</v>
      </c>
      <c r="K6" s="6">
        <v>-3</v>
      </c>
      <c r="L6" s="6">
        <v>1</v>
      </c>
      <c r="M6" s="6">
        <v>9</v>
      </c>
      <c r="N6" s="3">
        <v>9</v>
      </c>
    </row>
    <row r="7" spans="1:14" ht="14.5" x14ac:dyDescent="0.35">
      <c r="B7" s="4">
        <v>3</v>
      </c>
      <c r="C7" s="4">
        <f>ROUND((($N$4-L6*D6-M6*E6)/$K$4),3)</f>
        <v>-3.3000000000000002E-2</v>
      </c>
      <c r="D7" s="62">
        <f>ROUND((($N$5-$K$5*C7-$M$5*E6)/$L$5),3)</f>
        <v>1.018</v>
      </c>
      <c r="E7" s="5">
        <f>ROUND((($N$6-$K$6*C7-$L$6*D7)/$M$6),3)</f>
        <v>0.876</v>
      </c>
      <c r="F7" s="4">
        <f>ROUND((Table211[[#This Row],[x1]]-C6),3)</f>
        <v>-1.7889999999999999</v>
      </c>
      <c r="G7" s="62">
        <f>ROUND((Table211[[#This Row],[x2]]-D6),3)</f>
        <v>-0.77400000000000002</v>
      </c>
      <c r="H7" s="5">
        <f>ROUND((Table211[[#This Row],[x3]]-E6),3)</f>
        <v>-0.51</v>
      </c>
    </row>
    <row r="8" spans="1:14" ht="14.5" x14ac:dyDescent="0.35">
      <c r="B8" s="4">
        <v>4</v>
      </c>
      <c r="C8" s="4">
        <f>ROUND((($N$4-L7*D7-M7*E7)/$K$4),3)</f>
        <v>1.75</v>
      </c>
      <c r="D8" s="62">
        <f>ROUND((($N$5-$K$5*C8-$M$5*E7)/$L$5),3)</f>
        <v>1.4259999999999999</v>
      </c>
      <c r="E8" s="5">
        <f>ROUND((($N$6-$K$6*C8-$L$6*D8)/$M$6),3)</f>
        <v>1.425</v>
      </c>
      <c r="F8" s="4">
        <f>ROUND((Table211[[#This Row],[x1]]-C7),3)</f>
        <v>1.7829999999999999</v>
      </c>
      <c r="G8" s="62">
        <f>ROUND((Table211[[#This Row],[x2]]-D7),3)</f>
        <v>0.40799999999999997</v>
      </c>
      <c r="H8" s="5">
        <f>ROUND((Table211[[#This Row],[x3]]-E7),3)</f>
        <v>0.54900000000000004</v>
      </c>
    </row>
    <row r="9" spans="1:14" ht="14.5" x14ac:dyDescent="0.35">
      <c r="B9" s="4">
        <v>5</v>
      </c>
      <c r="C9" s="4">
        <f>ROUND((($N$4-L8*D8-M8*E8)/$K$4),3)</f>
        <v>1.75</v>
      </c>
      <c r="D9" s="62">
        <f>ROUND((($N$5-$K$5*C9-$M$5*E8)/$L$5),3)</f>
        <v>1.7549999999999999</v>
      </c>
      <c r="E9" s="5">
        <f>ROUND((($N$6-$K$6*C9-$L$6*D9)/$M$6),3)</f>
        <v>1.3879999999999999</v>
      </c>
      <c r="F9" s="4">
        <f>ROUND((Table211[[#This Row],[x1]]-C8),3)</f>
        <v>0</v>
      </c>
      <c r="G9" s="62">
        <f>ROUND((Table211[[#This Row],[x2]]-D8),3)</f>
        <v>0.32900000000000001</v>
      </c>
      <c r="H9" s="5">
        <f>ROUND((Table211[[#This Row],[x3]]-E8),3)</f>
        <v>-3.6999999999999998E-2</v>
      </c>
    </row>
    <row r="10" spans="1:14" ht="14.5" x14ac:dyDescent="0.35">
      <c r="B10" s="4">
        <v>6</v>
      </c>
      <c r="C10" s="4">
        <f>ROUND((($N$4-L9*D9-M9*E9)/$K$4),3)</f>
        <v>1.75</v>
      </c>
      <c r="D10" s="62">
        <f>ROUND((($N$5-$K$5*C10-$M$5*E9)/$L$5),3)</f>
        <v>1.7330000000000001</v>
      </c>
      <c r="E10" s="5">
        <f>ROUND((($N$6-$K$6*C10-$L$6*D10)/$M$6),3)</f>
        <v>1.391</v>
      </c>
      <c r="F10" s="4">
        <f>ROUND((Table211[[#This Row],[x1]]-C9),3)</f>
        <v>0</v>
      </c>
      <c r="G10" s="62">
        <f>ROUND((Table211[[#This Row],[x2]]-D9),3)</f>
        <v>-2.1999999999999999E-2</v>
      </c>
      <c r="H10" s="5">
        <f>ROUND((Table211[[#This Row],[x3]]-E9),3)</f>
        <v>3.0000000000000001E-3</v>
      </c>
    </row>
    <row r="11" spans="1:14" ht="14.5" x14ac:dyDescent="0.35">
      <c r="B11" s="4">
        <v>7</v>
      </c>
      <c r="C11" s="4">
        <f>ROUND((($N$4-L10*D10-M10*E10)/$K$4),3)</f>
        <v>1.75</v>
      </c>
      <c r="D11" s="62">
        <f>ROUND((($N$5-$K$5*C11-$M$5*E10)/$L$5),3)</f>
        <v>1.7350000000000001</v>
      </c>
      <c r="E11" s="5">
        <f>ROUND((($N$6-$K$6*C11-$L$6*D11)/$M$6),3)</f>
        <v>1.391</v>
      </c>
      <c r="F11" s="4">
        <f>ROUND((Table211[[#This Row],[x1]]-C10),3)</f>
        <v>0</v>
      </c>
      <c r="G11" s="62">
        <f>ROUND((Table211[[#This Row],[x2]]-D10),3)</f>
        <v>2E-3</v>
      </c>
      <c r="H11" s="5">
        <f>ROUND((Table211[[#This Row],[x3]]-E10),3)</f>
        <v>0</v>
      </c>
    </row>
    <row r="12" spans="1:14" ht="14.5" x14ac:dyDescent="0.35">
      <c r="B12" s="4">
        <v>8</v>
      </c>
      <c r="C12" s="4">
        <f>ROUND((($N$4-L11*D11-M11*E11)/$K$4),3)</f>
        <v>1.75</v>
      </c>
      <c r="D12" s="62">
        <f>ROUND((($N$5-$K$5*C12-$M$5*E11)/$L$5),3)</f>
        <v>1.7350000000000001</v>
      </c>
      <c r="E12" s="5">
        <f>ROUND((($N$6-$K$6*C12-$L$6*D12)/$M$6),3)</f>
        <v>1.391</v>
      </c>
      <c r="F12" s="4">
        <f>ROUND((Table211[[#This Row],[x1]]-C11),3)</f>
        <v>0</v>
      </c>
      <c r="G12" s="62">
        <f>ROUND((Table211[[#This Row],[x2]]-D11),3)</f>
        <v>0</v>
      </c>
      <c r="H12" s="5">
        <f>ROUND((Table211[[#This Row],[x3]]-E11),3)</f>
        <v>0</v>
      </c>
    </row>
    <row r="13" spans="1:14" ht="14.5" x14ac:dyDescent="0.35">
      <c r="B13" s="4">
        <v>9</v>
      </c>
      <c r="C13" s="4">
        <f>ROUND((($N$4-L12*D12-M12*E12)/$K$4),3)</f>
        <v>1.75</v>
      </c>
      <c r="D13" s="62">
        <f>ROUND((($N$5-$K$5*C13-$M$5*E12)/$L$5),3)</f>
        <v>1.7350000000000001</v>
      </c>
      <c r="E13" s="5">
        <f>ROUND((($N$6-$K$6*C13-$L$6*D13)/$M$6),3)</f>
        <v>1.391</v>
      </c>
      <c r="F13" s="4">
        <f>ROUND((Table211[[#This Row],[x1]]-C12),3)</f>
        <v>0</v>
      </c>
      <c r="G13" s="62">
        <f>ROUND((Table211[[#This Row],[x2]]-D12),3)</f>
        <v>0</v>
      </c>
      <c r="H13" s="5">
        <f>ROUND((Table211[[#This Row],[x3]]-E12),3)</f>
        <v>0</v>
      </c>
    </row>
    <row r="14" spans="1:14" ht="14.5" x14ac:dyDescent="0.35">
      <c r="B14" s="6">
        <v>10</v>
      </c>
      <c r="C14" s="6">
        <f>ROUND((($N$4-L13*D13-M13*E13)/$K$4),3)</f>
        <v>1.75</v>
      </c>
      <c r="D14" s="7">
        <f>ROUND((($N$5-$K$5*C14-$M$5*E13)/$L$5),3)</f>
        <v>1.7350000000000001</v>
      </c>
      <c r="E14" s="8">
        <f>ROUND((($N$6-$K$6*C14-$L$6*D14)/$M$6),3)</f>
        <v>1.391</v>
      </c>
      <c r="F14" s="6">
        <f>ROUND((Table211[[#This Row],[x1]]-C13),3)</f>
        <v>0</v>
      </c>
      <c r="G14" s="7">
        <f>ROUND((Table211[[#This Row],[x2]]-D13),3)</f>
        <v>0</v>
      </c>
      <c r="H14" s="8">
        <f>ROUND((Table211[[#This Row],[x3]]-E13),3)</f>
        <v>0</v>
      </c>
    </row>
    <row r="15" spans="1:14" x14ac:dyDescent="0.35">
      <c r="F15" s="63"/>
      <c r="G15" s="63"/>
      <c r="H15" s="63"/>
    </row>
  </sheetData>
  <mergeCells count="4">
    <mergeCell ref="B1:H1"/>
    <mergeCell ref="C2:E2"/>
    <mergeCell ref="F2:H2"/>
    <mergeCell ref="K2:N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D226-2B48-4C24-A633-83AF724169BB}">
  <dimension ref="B1:I24"/>
  <sheetViews>
    <sheetView workbookViewId="0">
      <selection activeCell="C4" sqref="C4"/>
    </sheetView>
  </sheetViews>
  <sheetFormatPr defaultRowHeight="14.5" x14ac:dyDescent="0.35"/>
  <sheetData>
    <row r="1" spans="2:9" x14ac:dyDescent="0.35">
      <c r="B1" s="43" t="s">
        <v>12</v>
      </c>
      <c r="C1" s="44"/>
      <c r="D1" s="44"/>
      <c r="E1" s="44"/>
      <c r="F1" s="44"/>
      <c r="G1" s="44"/>
      <c r="H1" s="44"/>
      <c r="I1" s="45"/>
    </row>
    <row r="2" spans="2:9" x14ac:dyDescent="0.35">
      <c r="B2" s="43" t="s">
        <v>13</v>
      </c>
      <c r="C2" s="44"/>
      <c r="D2" s="44"/>
      <c r="E2" s="44"/>
      <c r="F2" s="44"/>
      <c r="G2" s="44"/>
      <c r="H2" s="44"/>
      <c r="I2" s="45"/>
    </row>
    <row r="3" spans="2:9" x14ac:dyDescent="0.35">
      <c r="B3" s="15" t="s">
        <v>4</v>
      </c>
      <c r="C3" s="14" t="s">
        <v>14</v>
      </c>
      <c r="D3" s="15" t="s">
        <v>15</v>
      </c>
      <c r="E3" s="15" t="s">
        <v>16</v>
      </c>
      <c r="F3" s="15" t="s">
        <v>17</v>
      </c>
      <c r="G3" s="16" t="s">
        <v>18</v>
      </c>
      <c r="H3" s="16" t="s">
        <v>19</v>
      </c>
      <c r="I3" s="14" t="s">
        <v>20</v>
      </c>
    </row>
    <row r="4" spans="2:9" x14ac:dyDescent="0.35">
      <c r="B4" s="4">
        <v>0</v>
      </c>
      <c r="C4" s="2"/>
      <c r="D4" s="4"/>
      <c r="E4" s="4">
        <f>ROUND((C4+D4)/2,6)</f>
        <v>0</v>
      </c>
      <c r="F4" s="4"/>
      <c r="G4" s="1"/>
      <c r="H4" s="1"/>
      <c r="I4" s="2">
        <f t="shared" ref="I4:I24" si="0">ROUND((D4-C4),6)</f>
        <v>0</v>
      </c>
    </row>
    <row r="5" spans="2:9" x14ac:dyDescent="0.35">
      <c r="B5" s="4">
        <v>1</v>
      </c>
      <c r="C5" s="2">
        <f>ROUND(IF(F4*H4&lt;0,C4,E4),6)</f>
        <v>0</v>
      </c>
      <c r="D5" s="4">
        <f>ROUND(IF(G4*H4&lt;0,D4,E4),6)</f>
        <v>0</v>
      </c>
      <c r="E5" s="4">
        <f>ROUND((C5+D5)/2,6)</f>
        <v>0</v>
      </c>
      <c r="F5" s="4"/>
      <c r="G5" s="1"/>
      <c r="H5" s="1"/>
      <c r="I5" s="2">
        <f t="shared" si="0"/>
        <v>0</v>
      </c>
    </row>
    <row r="6" spans="2:9" x14ac:dyDescent="0.35">
      <c r="B6" s="4">
        <v>2</v>
      </c>
      <c r="C6" s="2">
        <f>ROUND(IF(F5*H5&lt;0,C5,E5),6)</f>
        <v>0</v>
      </c>
      <c r="D6" s="4">
        <f t="shared" ref="D6:D24" si="1">ROUND(IF(G5*H5&lt;0,D5,E5),6)</f>
        <v>0</v>
      </c>
      <c r="E6" s="4">
        <f>ROUND((C6+D6)/2,6)</f>
        <v>0</v>
      </c>
      <c r="F6" s="4"/>
      <c r="G6" s="1"/>
      <c r="H6" s="1"/>
      <c r="I6" s="2">
        <f t="shared" si="0"/>
        <v>0</v>
      </c>
    </row>
    <row r="7" spans="2:9" x14ac:dyDescent="0.35">
      <c r="B7" s="4">
        <v>3</v>
      </c>
      <c r="C7" s="2">
        <f>ROUND(IF(F6*H6&lt;0,C6,E6),6)</f>
        <v>0</v>
      </c>
      <c r="D7" s="4">
        <f t="shared" si="1"/>
        <v>0</v>
      </c>
      <c r="E7" s="4">
        <f>ROUND((C7+D7)/2,6)</f>
        <v>0</v>
      </c>
      <c r="F7" s="4"/>
      <c r="G7" s="1"/>
      <c r="H7" s="1"/>
      <c r="I7" s="2">
        <f t="shared" si="0"/>
        <v>0</v>
      </c>
    </row>
    <row r="8" spans="2:9" x14ac:dyDescent="0.35">
      <c r="B8" s="4">
        <v>4</v>
      </c>
      <c r="C8" s="2">
        <f>ROUND(IF(F7*H7&lt;0,C7,E7),6)</f>
        <v>0</v>
      </c>
      <c r="D8" s="4">
        <f t="shared" si="1"/>
        <v>0</v>
      </c>
      <c r="E8" s="4">
        <f>ROUND((C8+D8)/2,6)</f>
        <v>0</v>
      </c>
      <c r="F8" s="4"/>
      <c r="G8" s="1"/>
      <c r="H8" s="1"/>
      <c r="I8" s="2">
        <f t="shared" si="0"/>
        <v>0</v>
      </c>
    </row>
    <row r="9" spans="2:9" x14ac:dyDescent="0.35">
      <c r="B9" s="4">
        <v>5</v>
      </c>
      <c r="C9" s="2">
        <f>ROUND(IF(F8*H8&lt;0,C8,E8),6)</f>
        <v>0</v>
      </c>
      <c r="D9" s="4">
        <f t="shared" si="1"/>
        <v>0</v>
      </c>
      <c r="E9" s="4">
        <f>ROUND((C9+D9)/2,6)</f>
        <v>0</v>
      </c>
      <c r="F9" s="4"/>
      <c r="G9" s="1"/>
      <c r="H9" s="1"/>
      <c r="I9" s="2">
        <f t="shared" si="0"/>
        <v>0</v>
      </c>
    </row>
    <row r="10" spans="2:9" x14ac:dyDescent="0.35">
      <c r="B10" s="4">
        <v>6</v>
      </c>
      <c r="C10" s="2">
        <f>ROUND(IF(F9*H9&lt;0,C9,E9),6)</f>
        <v>0</v>
      </c>
      <c r="D10" s="4">
        <f t="shared" si="1"/>
        <v>0</v>
      </c>
      <c r="E10" s="4">
        <f>ROUND((C10+D10)/2,6)</f>
        <v>0</v>
      </c>
      <c r="F10" s="4"/>
      <c r="G10" s="1"/>
      <c r="H10" s="1"/>
      <c r="I10" s="2">
        <f t="shared" si="0"/>
        <v>0</v>
      </c>
    </row>
    <row r="11" spans="2:9" x14ac:dyDescent="0.35">
      <c r="B11" s="4">
        <v>7</v>
      </c>
      <c r="C11" s="2">
        <f>ROUND(IF(F10*H10&lt;0,C10,E10),6)</f>
        <v>0</v>
      </c>
      <c r="D11" s="4">
        <f t="shared" si="1"/>
        <v>0</v>
      </c>
      <c r="E11" s="4">
        <f>ROUND((C11+D11)/2,6)</f>
        <v>0</v>
      </c>
      <c r="F11" s="4"/>
      <c r="G11" s="1"/>
      <c r="H11" s="1"/>
      <c r="I11" s="2">
        <f t="shared" si="0"/>
        <v>0</v>
      </c>
    </row>
    <row r="12" spans="2:9" x14ac:dyDescent="0.35">
      <c r="B12" s="4">
        <v>8</v>
      </c>
      <c r="C12" s="2">
        <f>ROUND(IF(F11*H11&lt;0,C11,E11),6)</f>
        <v>0</v>
      </c>
      <c r="D12" s="4">
        <f t="shared" si="1"/>
        <v>0</v>
      </c>
      <c r="E12" s="4">
        <f>ROUND((C12+D12)/2,6)</f>
        <v>0</v>
      </c>
      <c r="F12" s="4"/>
      <c r="G12" s="1"/>
      <c r="H12" s="1"/>
      <c r="I12" s="2">
        <f t="shared" si="0"/>
        <v>0</v>
      </c>
    </row>
    <row r="13" spans="2:9" x14ac:dyDescent="0.35">
      <c r="B13" s="4">
        <v>9</v>
      </c>
      <c r="C13" s="2">
        <f>ROUND(IF(F12*H12&lt;0,C12,E12),6)</f>
        <v>0</v>
      </c>
      <c r="D13" s="4">
        <f t="shared" si="1"/>
        <v>0</v>
      </c>
      <c r="E13" s="4">
        <f>ROUND((C13+D13)/2,6)</f>
        <v>0</v>
      </c>
      <c r="F13" s="4"/>
      <c r="G13" s="1"/>
      <c r="H13" s="1"/>
      <c r="I13" s="2">
        <f t="shared" si="0"/>
        <v>0</v>
      </c>
    </row>
    <row r="14" spans="2:9" x14ac:dyDescent="0.35">
      <c r="B14" s="4">
        <v>10</v>
      </c>
      <c r="C14" s="2">
        <f>ROUND(IF(F13*H13&lt;0,C13,E13),6)</f>
        <v>0</v>
      </c>
      <c r="D14" s="4">
        <f t="shared" si="1"/>
        <v>0</v>
      </c>
      <c r="E14" s="4">
        <f>ROUND((C14+D14)/2,6)</f>
        <v>0</v>
      </c>
      <c r="F14" s="4"/>
      <c r="G14" s="1"/>
      <c r="H14" s="1"/>
      <c r="I14" s="2">
        <f t="shared" si="0"/>
        <v>0</v>
      </c>
    </row>
    <row r="15" spans="2:9" x14ac:dyDescent="0.35">
      <c r="B15" s="4">
        <v>11</v>
      </c>
      <c r="C15" s="2">
        <f>ROUND(IF(F14*H14&lt;0,C14,E14),6)</f>
        <v>0</v>
      </c>
      <c r="D15" s="4">
        <f t="shared" si="1"/>
        <v>0</v>
      </c>
      <c r="E15" s="4">
        <f>ROUND((C15+D15)/2,6)</f>
        <v>0</v>
      </c>
      <c r="F15" s="4"/>
      <c r="G15" s="1"/>
      <c r="H15" s="1"/>
      <c r="I15" s="2">
        <f t="shared" si="0"/>
        <v>0</v>
      </c>
    </row>
    <row r="16" spans="2:9" x14ac:dyDescent="0.35">
      <c r="B16" s="4">
        <v>12</v>
      </c>
      <c r="C16" s="2">
        <f>ROUND(IF(F15*H15&lt;0,C15,E15),6)</f>
        <v>0</v>
      </c>
      <c r="D16" s="4">
        <f t="shared" si="1"/>
        <v>0</v>
      </c>
      <c r="E16" s="4">
        <f>ROUND((C16+D16)/2,6)</f>
        <v>0</v>
      </c>
      <c r="F16" s="4"/>
      <c r="G16" s="1"/>
      <c r="H16" s="1"/>
      <c r="I16" s="2">
        <f t="shared" si="0"/>
        <v>0</v>
      </c>
    </row>
    <row r="17" spans="2:9" x14ac:dyDescent="0.35">
      <c r="B17" s="4">
        <v>13</v>
      </c>
      <c r="C17" s="2">
        <f>ROUND(IF(F16*H16&lt;0,C16,E16),6)</f>
        <v>0</v>
      </c>
      <c r="D17" s="4">
        <f t="shared" si="1"/>
        <v>0</v>
      </c>
      <c r="E17" s="4">
        <f>ROUND((C17+D17)/2,6)</f>
        <v>0</v>
      </c>
      <c r="F17" s="4"/>
      <c r="G17" s="1"/>
      <c r="H17" s="1"/>
      <c r="I17" s="2">
        <f t="shared" si="0"/>
        <v>0</v>
      </c>
    </row>
    <row r="18" spans="2:9" x14ac:dyDescent="0.35">
      <c r="B18" s="4">
        <v>14</v>
      </c>
      <c r="C18" s="2">
        <f>ROUND(IF(F17*H17&lt;0,C17,E17),6)</f>
        <v>0</v>
      </c>
      <c r="D18" s="4">
        <f t="shared" si="1"/>
        <v>0</v>
      </c>
      <c r="E18" s="4">
        <f>ROUND((C18+D18)/2,6)</f>
        <v>0</v>
      </c>
      <c r="F18" s="4"/>
      <c r="G18" s="1"/>
      <c r="H18" s="1"/>
      <c r="I18" s="2">
        <f t="shared" si="0"/>
        <v>0</v>
      </c>
    </row>
    <row r="19" spans="2:9" x14ac:dyDescent="0.35">
      <c r="B19" s="4">
        <v>15</v>
      </c>
      <c r="C19" s="2">
        <f>ROUND(IF(F18*H18&lt;0,C18,E18),6)</f>
        <v>0</v>
      </c>
      <c r="D19" s="4">
        <f t="shared" si="1"/>
        <v>0</v>
      </c>
      <c r="E19" s="4">
        <f>ROUND((C19+D19)/2,6)</f>
        <v>0</v>
      </c>
      <c r="F19" s="4"/>
      <c r="G19" s="1"/>
      <c r="H19" s="1"/>
      <c r="I19" s="2">
        <f t="shared" si="0"/>
        <v>0</v>
      </c>
    </row>
    <row r="20" spans="2:9" x14ac:dyDescent="0.35">
      <c r="B20" s="4">
        <v>16</v>
      </c>
      <c r="C20" s="2">
        <f>ROUND(IF(F19*H19&lt;0,C19,E19),6)</f>
        <v>0</v>
      </c>
      <c r="D20" s="4">
        <f t="shared" si="1"/>
        <v>0</v>
      </c>
      <c r="E20" s="4">
        <f>ROUND((C20+D20)/2,6)</f>
        <v>0</v>
      </c>
      <c r="F20" s="4"/>
      <c r="G20" s="1"/>
      <c r="H20" s="1"/>
      <c r="I20" s="2">
        <f t="shared" si="0"/>
        <v>0</v>
      </c>
    </row>
    <row r="21" spans="2:9" x14ac:dyDescent="0.35">
      <c r="B21" s="4">
        <v>17</v>
      </c>
      <c r="C21" s="2">
        <f>ROUND(IF(F20*H20&lt;0,C20,E20),6)</f>
        <v>0</v>
      </c>
      <c r="D21" s="4">
        <f t="shared" si="1"/>
        <v>0</v>
      </c>
      <c r="E21" s="4">
        <f>ROUND((C21+D21)/2,6)</f>
        <v>0</v>
      </c>
      <c r="F21" s="4"/>
      <c r="G21" s="1"/>
      <c r="H21" s="1"/>
      <c r="I21" s="2">
        <f t="shared" si="0"/>
        <v>0</v>
      </c>
    </row>
    <row r="22" spans="2:9" x14ac:dyDescent="0.35">
      <c r="B22" s="4">
        <v>18</v>
      </c>
      <c r="C22" s="2">
        <f>ROUND(IF(F21*H21&lt;0,C21,E21),6)</f>
        <v>0</v>
      </c>
      <c r="D22" s="4">
        <f t="shared" si="1"/>
        <v>0</v>
      </c>
      <c r="E22" s="4">
        <f>ROUND((C22+D22)/2,6)</f>
        <v>0</v>
      </c>
      <c r="F22" s="4"/>
      <c r="G22" s="1"/>
      <c r="H22" s="1"/>
      <c r="I22" s="2">
        <f t="shared" si="0"/>
        <v>0</v>
      </c>
    </row>
    <row r="23" spans="2:9" x14ac:dyDescent="0.35">
      <c r="B23" s="4">
        <v>19</v>
      </c>
      <c r="C23" s="2">
        <f>ROUND(IF(F22*H22&lt;0,C22,E22),6)</f>
        <v>0</v>
      </c>
      <c r="D23" s="4">
        <f t="shared" si="1"/>
        <v>0</v>
      </c>
      <c r="E23" s="4">
        <f>ROUND((C23+D23)/2,6)</f>
        <v>0</v>
      </c>
      <c r="F23" s="4"/>
      <c r="G23" s="1"/>
      <c r="H23" s="1"/>
      <c r="I23" s="2">
        <f t="shared" si="0"/>
        <v>0</v>
      </c>
    </row>
    <row r="24" spans="2:9" x14ac:dyDescent="0.35">
      <c r="B24" s="6">
        <v>20</v>
      </c>
      <c r="C24" s="3">
        <f>ROUND(IF(F23*H23&lt;0,C23,E23),6)</f>
        <v>0</v>
      </c>
      <c r="D24" s="6">
        <f t="shared" si="1"/>
        <v>0</v>
      </c>
      <c r="E24" s="6">
        <f>ROUND((C24+D24)/2,6)</f>
        <v>0</v>
      </c>
      <c r="F24" s="6"/>
      <c r="G24" s="7"/>
      <c r="H24" s="7"/>
      <c r="I24" s="3">
        <f t="shared" si="0"/>
        <v>0</v>
      </c>
    </row>
  </sheetData>
  <mergeCells count="2">
    <mergeCell ref="B1:I1"/>
    <mergeCell ref="B2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F7C-477D-47B7-A744-5FA395DF9716}">
  <dimension ref="B1:Q20"/>
  <sheetViews>
    <sheetView workbookViewId="0">
      <selection activeCell="B3" sqref="B3"/>
    </sheetView>
  </sheetViews>
  <sheetFormatPr defaultRowHeight="14.5" x14ac:dyDescent="0.35"/>
  <cols>
    <col min="7" max="7" width="10.1796875" bestFit="1" customWidth="1"/>
    <col min="9" max="9" width="10.7265625" bestFit="1" customWidth="1"/>
    <col min="12" max="12" width="13.7265625" bestFit="1" customWidth="1"/>
    <col min="13" max="13" width="11.453125" bestFit="1" customWidth="1"/>
  </cols>
  <sheetData>
    <row r="1" spans="2:17" x14ac:dyDescent="0.35">
      <c r="B1" s="53" t="s">
        <v>21</v>
      </c>
      <c r="C1" s="54"/>
      <c r="D1" s="54"/>
      <c r="E1" s="54"/>
      <c r="F1" s="54"/>
      <c r="G1" s="54"/>
      <c r="H1" s="54"/>
      <c r="I1" s="55"/>
      <c r="J1" s="21"/>
      <c r="K1" s="21"/>
      <c r="L1" s="21"/>
      <c r="M1" s="21"/>
    </row>
    <row r="2" spans="2:17" x14ac:dyDescent="0.35">
      <c r="B2" s="47" t="s">
        <v>22</v>
      </c>
      <c r="C2" s="48"/>
      <c r="D2" s="48"/>
      <c r="E2" s="51" t="s">
        <v>23</v>
      </c>
      <c r="F2" s="52"/>
      <c r="G2" s="52"/>
      <c r="H2" s="49" t="s">
        <v>24</v>
      </c>
      <c r="I2" s="50"/>
      <c r="N2" s="18"/>
      <c r="O2" s="18"/>
      <c r="P2" s="18"/>
      <c r="Q2" s="18"/>
    </row>
    <row r="3" spans="2:17" ht="18.5" x14ac:dyDescent="0.45">
      <c r="B3" s="4" t="s">
        <v>25</v>
      </c>
      <c r="C3" s="1" t="s">
        <v>26</v>
      </c>
      <c r="D3" s="1" t="s">
        <v>27</v>
      </c>
      <c r="E3" s="22" t="s">
        <v>28</v>
      </c>
      <c r="F3" t="s">
        <v>29</v>
      </c>
      <c r="G3" s="20" t="s">
        <v>30</v>
      </c>
      <c r="H3" s="27" t="s">
        <v>31</v>
      </c>
      <c r="I3" s="23" t="s">
        <v>32</v>
      </c>
      <c r="J3" s="17"/>
      <c r="K3" s="17"/>
      <c r="N3" s="18"/>
      <c r="O3" s="18"/>
      <c r="P3" s="18"/>
      <c r="Q3" s="18"/>
    </row>
    <row r="4" spans="2:17" x14ac:dyDescent="0.35">
      <c r="B4" s="4">
        <v>0</v>
      </c>
      <c r="C4" s="1"/>
      <c r="D4" s="1"/>
      <c r="E4" s="22">
        <v>0</v>
      </c>
      <c r="F4" t="e">
        <f>((I5-C5)/(C4-C5))*((I5-C6)/(C4-C6))*((I5-C7)/(C4-C7))</f>
        <v>#DIV/0!</v>
      </c>
      <c r="G4" s="19" t="e">
        <f>F4*D4</f>
        <v>#DIV/0!</v>
      </c>
      <c r="H4" s="28" t="s">
        <v>33</v>
      </c>
      <c r="I4" s="24"/>
      <c r="J4" s="19"/>
      <c r="K4" s="19"/>
      <c r="N4" s="18"/>
      <c r="O4" s="18"/>
      <c r="P4" s="18"/>
      <c r="Q4" s="18"/>
    </row>
    <row r="5" spans="2:17" x14ac:dyDescent="0.35">
      <c r="B5" s="4">
        <v>1</v>
      </c>
      <c r="C5" s="1"/>
      <c r="D5" s="1"/>
      <c r="E5" s="22">
        <v>1</v>
      </c>
      <c r="F5" t="e">
        <f>((I5-C4)/(C5-C4))*((I5-C6)/(C5-C6))*((I5-C7)/(C5-C7))</f>
        <v>#DIV/0!</v>
      </c>
      <c r="G5" s="19" t="e">
        <f>F5*D5</f>
        <v>#DIV/0!</v>
      </c>
      <c r="H5" s="28" t="s">
        <v>16</v>
      </c>
      <c r="I5" s="24"/>
      <c r="J5" s="19"/>
      <c r="K5" s="19"/>
      <c r="N5" s="18"/>
      <c r="O5" s="18"/>
      <c r="P5" s="18"/>
      <c r="Q5" s="18"/>
    </row>
    <row r="6" spans="2:17" x14ac:dyDescent="0.35">
      <c r="B6" s="4">
        <v>2</v>
      </c>
      <c r="C6" s="1"/>
      <c r="D6" s="1"/>
      <c r="E6" s="22">
        <v>2</v>
      </c>
      <c r="F6" t="e">
        <f>((I5-C5)/(C6-C5))*((I5-C4)/(C6-C4))*((I5-C7)/(C6-C7))</f>
        <v>#DIV/0!</v>
      </c>
      <c r="G6" s="19" t="e">
        <f>F6*D6</f>
        <v>#DIV/0!</v>
      </c>
      <c r="H6" s="28" t="s">
        <v>34</v>
      </c>
      <c r="I6" s="24" t="e">
        <f>(G4+G5+G6+G7)</f>
        <v>#DIV/0!</v>
      </c>
      <c r="J6" s="19"/>
      <c r="K6" s="19"/>
      <c r="N6" s="18"/>
      <c r="O6" s="18"/>
      <c r="P6" s="18"/>
      <c r="Q6" s="18"/>
    </row>
    <row r="7" spans="2:17" x14ac:dyDescent="0.35">
      <c r="B7" s="6">
        <v>3</v>
      </c>
      <c r="C7" s="7"/>
      <c r="D7" s="7"/>
      <c r="E7" s="25">
        <v>3</v>
      </c>
      <c r="F7" s="26" t="e">
        <f>((I5-C5)/(C7-C5))*((I5-C6)/(C7-C6))*((I5-C4)/(C7-C4))</f>
        <v>#DIV/0!</v>
      </c>
      <c r="G7" s="29" t="e">
        <f>F7*D7</f>
        <v>#DIV/0!</v>
      </c>
      <c r="H7" s="42" t="s">
        <v>35</v>
      </c>
      <c r="I7" s="46"/>
      <c r="J7" s="19"/>
      <c r="K7" s="19"/>
      <c r="L7" s="19"/>
      <c r="M7" s="18"/>
      <c r="N7" s="18"/>
      <c r="O7" s="18"/>
      <c r="P7" s="18"/>
      <c r="Q7" s="18"/>
    </row>
    <row r="8" spans="2:17" x14ac:dyDescent="0.35">
      <c r="B8" s="1"/>
      <c r="C8" s="1"/>
      <c r="D8" s="1"/>
      <c r="I8" s="18"/>
      <c r="J8" s="18"/>
      <c r="K8" s="18"/>
      <c r="L8" s="18"/>
      <c r="M8" s="18"/>
      <c r="N8" s="18"/>
      <c r="O8" s="18"/>
      <c r="P8" s="18"/>
      <c r="Q8" s="18"/>
    </row>
    <row r="9" spans="2:17" x14ac:dyDescent="0.35">
      <c r="B9" s="1"/>
      <c r="C9" s="1"/>
      <c r="D9" s="1"/>
      <c r="I9" s="18"/>
      <c r="J9" s="18"/>
      <c r="K9" s="18"/>
      <c r="L9" s="18"/>
      <c r="M9" s="18"/>
      <c r="N9" s="18"/>
      <c r="O9" s="18"/>
      <c r="P9" s="18"/>
      <c r="Q9" s="18"/>
    </row>
    <row r="10" spans="2:17" x14ac:dyDescent="0.35">
      <c r="B10" s="1"/>
      <c r="C10" s="1"/>
      <c r="D10" s="1"/>
      <c r="I10" s="18"/>
      <c r="J10" s="18"/>
      <c r="K10" s="18"/>
      <c r="L10" s="18"/>
      <c r="M10" s="18"/>
      <c r="N10" s="18"/>
      <c r="O10" s="18"/>
      <c r="P10" s="18"/>
      <c r="Q10" s="18"/>
    </row>
    <row r="11" spans="2:17" x14ac:dyDescent="0.35">
      <c r="I11" s="18"/>
      <c r="J11" s="18"/>
      <c r="K11" s="18"/>
      <c r="L11" s="18"/>
      <c r="M11" s="18"/>
      <c r="N11" s="18"/>
      <c r="O11" s="18"/>
      <c r="P11" s="18"/>
      <c r="Q11" s="18"/>
    </row>
    <row r="12" spans="2:17" x14ac:dyDescent="0.35">
      <c r="I12" s="18"/>
      <c r="J12" s="18"/>
      <c r="K12" s="18"/>
      <c r="L12" s="18"/>
      <c r="M12" s="18"/>
      <c r="N12" s="18"/>
      <c r="O12" s="18"/>
      <c r="P12" s="18"/>
      <c r="Q12" s="18"/>
    </row>
    <row r="13" spans="2:17" x14ac:dyDescent="0.35">
      <c r="I13" s="18"/>
      <c r="J13" s="18"/>
      <c r="K13" s="18"/>
      <c r="L13" s="18"/>
      <c r="M13" s="18"/>
      <c r="N13" s="18"/>
      <c r="O13" s="18"/>
      <c r="P13" s="18"/>
      <c r="Q13" s="18"/>
    </row>
    <row r="14" spans="2:17" x14ac:dyDescent="0.35">
      <c r="I14" s="18"/>
      <c r="J14" s="18"/>
      <c r="K14" s="18"/>
      <c r="L14" s="18"/>
      <c r="M14" s="18"/>
      <c r="N14" s="18"/>
      <c r="O14" s="18"/>
      <c r="P14" s="18"/>
      <c r="Q14" s="18"/>
    </row>
    <row r="15" spans="2:17" x14ac:dyDescent="0.35">
      <c r="I15" s="18"/>
      <c r="J15" s="18"/>
      <c r="K15" s="18"/>
      <c r="L15" s="18"/>
      <c r="M15" s="18"/>
      <c r="N15" s="18"/>
      <c r="O15" s="18"/>
      <c r="P15" s="18"/>
      <c r="Q15" s="18"/>
    </row>
    <row r="16" spans="2:17" x14ac:dyDescent="0.35">
      <c r="I16" s="18"/>
      <c r="J16" s="18"/>
      <c r="K16" s="18"/>
      <c r="L16" s="18"/>
      <c r="M16" s="18"/>
      <c r="N16" s="18"/>
      <c r="O16" s="18"/>
      <c r="P16" s="18"/>
      <c r="Q16" s="18"/>
    </row>
    <row r="17" spans="9:17" x14ac:dyDescent="0.35">
      <c r="I17" s="18"/>
      <c r="J17" s="18"/>
      <c r="K17" s="18"/>
      <c r="L17" s="18"/>
      <c r="M17" s="18"/>
      <c r="N17" s="18"/>
      <c r="O17" s="18"/>
      <c r="P17" s="18"/>
      <c r="Q17" s="18"/>
    </row>
    <row r="18" spans="9:17" x14ac:dyDescent="0.35">
      <c r="I18" s="18"/>
      <c r="J18" s="18"/>
      <c r="K18" s="18"/>
      <c r="L18" s="18"/>
      <c r="M18" s="18"/>
      <c r="N18" s="18"/>
      <c r="O18" s="18"/>
      <c r="P18" s="18"/>
      <c r="Q18" s="18"/>
    </row>
    <row r="19" spans="9:17" x14ac:dyDescent="0.35">
      <c r="I19" s="18"/>
      <c r="J19" s="18"/>
      <c r="K19" s="18"/>
      <c r="L19" s="18"/>
      <c r="M19" s="18"/>
      <c r="N19" s="18"/>
      <c r="O19" s="18"/>
      <c r="P19" s="18"/>
      <c r="Q19" s="18"/>
    </row>
    <row r="20" spans="9:17" x14ac:dyDescent="0.35">
      <c r="I20" s="18"/>
      <c r="J20" s="18"/>
      <c r="K20" s="18"/>
      <c r="L20" s="18"/>
      <c r="M20" s="18"/>
      <c r="N20" s="18"/>
      <c r="O20" s="18"/>
      <c r="P20" s="18"/>
      <c r="Q20" s="18"/>
    </row>
  </sheetData>
  <mergeCells count="5">
    <mergeCell ref="H7:I7"/>
    <mergeCell ref="B2:D2"/>
    <mergeCell ref="H2:I2"/>
    <mergeCell ref="E2:G2"/>
    <mergeCell ref="B1:I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EB47-A731-4433-A198-E50957206D09}">
  <dimension ref="B1:H8"/>
  <sheetViews>
    <sheetView workbookViewId="0">
      <selection activeCell="D12" sqref="D12"/>
    </sheetView>
  </sheetViews>
  <sheetFormatPr defaultRowHeight="14.5" x14ac:dyDescent="0.35"/>
  <cols>
    <col min="5" max="5" width="14.81640625" customWidth="1"/>
    <col min="6" max="6" width="13" customWidth="1"/>
    <col min="7" max="8" width="13.54296875" customWidth="1"/>
    <col min="9" max="9" width="13.453125" customWidth="1"/>
    <col min="10" max="10" width="13.54296875" customWidth="1"/>
  </cols>
  <sheetData>
    <row r="1" spans="2:8" x14ac:dyDescent="0.35">
      <c r="B1" s="56" t="s">
        <v>36</v>
      </c>
      <c r="C1" s="57"/>
      <c r="D1" s="57"/>
      <c r="E1" s="57"/>
      <c r="F1" s="57"/>
      <c r="G1" s="57"/>
      <c r="H1" s="58"/>
    </row>
    <row r="2" spans="2:8" x14ac:dyDescent="0.35">
      <c r="B2" s="56" t="s">
        <v>37</v>
      </c>
      <c r="C2" s="57"/>
      <c r="D2" s="58"/>
      <c r="E2" s="59" t="s">
        <v>38</v>
      </c>
      <c r="F2" s="59"/>
      <c r="G2" s="59"/>
      <c r="H2" s="60"/>
    </row>
    <row r="3" spans="2:8" x14ac:dyDescent="0.35">
      <c r="B3" s="31" t="s">
        <v>25</v>
      </c>
      <c r="C3" s="13" t="s">
        <v>26</v>
      </c>
      <c r="D3" s="32" t="s">
        <v>39</v>
      </c>
      <c r="E3" s="13" t="s">
        <v>40</v>
      </c>
      <c r="F3" s="13" t="s">
        <v>41</v>
      </c>
      <c r="G3" s="13" t="s">
        <v>42</v>
      </c>
      <c r="H3" s="32" t="s">
        <v>43</v>
      </c>
    </row>
    <row r="4" spans="2:8" x14ac:dyDescent="0.35">
      <c r="B4" s="4">
        <v>0</v>
      </c>
      <c r="C4" s="1"/>
      <c r="D4" s="5"/>
      <c r="E4" s="19" t="e">
        <f>(D5-D4)/(C5-C4)</f>
        <v>#DIV/0!</v>
      </c>
      <c r="F4" s="19" t="e">
        <f>(E5-E4)/(C6-C4)</f>
        <v>#DIV/0!</v>
      </c>
      <c r="G4" s="19" t="e">
        <f>(F5-F4)/(C7-C4)</f>
        <v>#DIV/0!</v>
      </c>
      <c r="H4" s="24" t="e">
        <f>(G5-G4)/(C8-C4)</f>
        <v>#DIV/0!</v>
      </c>
    </row>
    <row r="5" spans="2:8" x14ac:dyDescent="0.35">
      <c r="B5" s="4">
        <v>1</v>
      </c>
      <c r="C5" s="1"/>
      <c r="D5" s="5"/>
      <c r="E5" s="19" t="e">
        <f>(D6-D5)/(C6-C5)</f>
        <v>#DIV/0!</v>
      </c>
      <c r="F5" s="19" t="e">
        <f>(E6-E5)/(C7-C5)</f>
        <v>#DIV/0!</v>
      </c>
      <c r="G5" s="19" t="e">
        <f>(F6-F5)/(C8-C5)</f>
        <v>#DIV/0!</v>
      </c>
      <c r="H5" s="33" t="e">
        <f>(G6-G5)/(#REF!-C5)</f>
        <v>#REF!</v>
      </c>
    </row>
    <row r="6" spans="2:8" x14ac:dyDescent="0.35">
      <c r="B6" s="4">
        <v>2</v>
      </c>
      <c r="C6" s="1"/>
      <c r="D6" s="5"/>
      <c r="E6" s="19" t="e">
        <f>(D7-D6)/(C7-C6)</f>
        <v>#DIV/0!</v>
      </c>
      <c r="F6" s="19" t="e">
        <f>(E7-E6)/(C8-C6)</f>
        <v>#DIV/0!</v>
      </c>
      <c r="G6" s="30" t="e">
        <f>(F7-F6)/(#REF!-C6)</f>
        <v>#REF!</v>
      </c>
      <c r="H6" s="33" t="e">
        <f>(G7-G6)/(C9-C6)</f>
        <v>#REF!</v>
      </c>
    </row>
    <row r="7" spans="2:8" x14ac:dyDescent="0.35">
      <c r="B7" s="4">
        <v>3</v>
      </c>
      <c r="C7" s="1"/>
      <c r="D7" s="5"/>
      <c r="E7" s="19" t="e">
        <f>(D8-D7)/(C8-C7)</f>
        <v>#DIV/0!</v>
      </c>
      <c r="F7" s="30" t="e">
        <f>(E8-E7)/(#REF!-C7)</f>
        <v>#REF!</v>
      </c>
      <c r="G7" s="30" t="e">
        <f>(F8-F7)/(C9-C7)</f>
        <v>#REF!</v>
      </c>
      <c r="H7" s="33" t="e">
        <f>(G8-G7)/(C10-C7)</f>
        <v>#REF!</v>
      </c>
    </row>
    <row r="8" spans="2:8" x14ac:dyDescent="0.35">
      <c r="B8" s="6">
        <v>4</v>
      </c>
      <c r="C8" s="7"/>
      <c r="D8" s="8"/>
      <c r="E8" s="34" t="e">
        <f>(#REF!-D8)/(#REF!-C8)</f>
        <v>#REF!</v>
      </c>
      <c r="F8" s="34" t="e">
        <f>(#REF!-E8)/(C9-C8)</f>
        <v>#REF!</v>
      </c>
      <c r="G8" s="34" t="e">
        <f>(#REF!-F8)/(C10-C8)</f>
        <v>#REF!</v>
      </c>
      <c r="H8" s="35" t="e">
        <f>(I8-G8)/(C11-C8)</f>
        <v>#REF!</v>
      </c>
    </row>
  </sheetData>
  <mergeCells count="3">
    <mergeCell ref="B2:D2"/>
    <mergeCell ref="E2:H2"/>
    <mergeCell ref="B1:H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Sistemas Lineares - Jacobi</vt:lpstr>
      <vt:lpstr>Sistemas Lineares - Seidel</vt:lpstr>
      <vt:lpstr>Bissecção</vt:lpstr>
      <vt:lpstr>Lagrange</vt:lpstr>
      <vt:lpstr>Newton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Vieira</dc:creator>
  <cp:keywords/>
  <dc:description/>
  <cp:lastModifiedBy>EA - Gustavo Da Fonseca Araújo Vieira</cp:lastModifiedBy>
  <cp:revision/>
  <dcterms:created xsi:type="dcterms:W3CDTF">2026-06-01T16:09:48Z</dcterms:created>
  <dcterms:modified xsi:type="dcterms:W3CDTF">2026-06-08T00:05:25Z</dcterms:modified>
  <cp:category/>
  <cp:contentStatus/>
</cp:coreProperties>
</file>